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\Desktop\livros\Cursos\Excel\secao_03\"/>
    </mc:Choice>
  </mc:AlternateContent>
  <xr:revisionPtr revIDLastSave="0" documentId="13_ncr:1_{2F6C3A1C-C871-4C4C-AF70-733CC1997828}" xr6:coauthVersionLast="47" xr6:coauthVersionMax="47" xr10:uidLastSave="{00000000-0000-0000-0000-000000000000}"/>
  <bookViews>
    <workbookView xWindow="-120" yWindow="-120" windowWidth="29040" windowHeight="15720" activeTab="2" xr2:uid="{F9B1D53E-F469-452C-A6D2-F3D12722067B}"/>
  </bookViews>
  <sheets>
    <sheet name="RPA-Ago2026" sheetId="1" r:id="rId1"/>
    <sheet name="RPA-Set2026" sheetId="3" r:id="rId2"/>
    <sheet name="RPA-Ano20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2" l="1"/>
  <c r="E7" i="2"/>
  <c r="F7" i="2"/>
  <c r="C8" i="2"/>
  <c r="C7" i="2"/>
  <c r="E10" i="3"/>
  <c r="H9" i="3"/>
  <c r="G9" i="3"/>
  <c r="F9" i="3"/>
  <c r="H8" i="3"/>
  <c r="G8" i="3"/>
  <c r="F8" i="3"/>
  <c r="G7" i="3"/>
  <c r="F7" i="3"/>
  <c r="H7" i="3" s="1"/>
  <c r="G6" i="3"/>
  <c r="F6" i="3"/>
  <c r="H6" i="3" s="1"/>
  <c r="G5" i="3"/>
  <c r="F5" i="3"/>
  <c r="H5" i="3" s="1"/>
  <c r="D6" i="2"/>
  <c r="E6" i="2"/>
  <c r="F6" i="2"/>
  <c r="C6" i="2"/>
  <c r="E10" i="1"/>
  <c r="H6" i="1"/>
  <c r="H10" i="1" s="1"/>
  <c r="H7" i="1"/>
  <c r="H8" i="1"/>
  <c r="H9" i="1"/>
  <c r="H5" i="1"/>
  <c r="G6" i="1"/>
  <c r="G7" i="1"/>
  <c r="G8" i="1"/>
  <c r="G9" i="1"/>
  <c r="G5" i="1"/>
  <c r="F6" i="1"/>
  <c r="F7" i="1"/>
  <c r="F8" i="1"/>
  <c r="F9" i="1"/>
  <c r="F5" i="1"/>
  <c r="F10" i="1" s="1"/>
  <c r="G10" i="1"/>
  <c r="F8" i="2" l="1"/>
  <c r="E8" i="2"/>
  <c r="D8" i="2"/>
  <c r="H10" i="3"/>
  <c r="G10" i="3"/>
  <c r="F10" i="3"/>
</calcChain>
</file>

<file path=xl/sharedStrings.xml><?xml version="1.0" encoding="utf-8"?>
<sst xmlns="http://schemas.openxmlformats.org/spreadsheetml/2006/main" count="48" uniqueCount="29">
  <si>
    <t>RELATORIO DE PAGAMENTO DE RPA</t>
  </si>
  <si>
    <t>MÊS</t>
  </si>
  <si>
    <t>ANO</t>
  </si>
  <si>
    <t>Agosto</t>
  </si>
  <si>
    <t>DATA</t>
  </si>
  <si>
    <t>NOME</t>
  </si>
  <si>
    <t>CPF</t>
  </si>
  <si>
    <t xml:space="preserve">VALOR DO
SERVIÇO </t>
  </si>
  <si>
    <t>INSS
DESCONTADO</t>
  </si>
  <si>
    <t>INSS DA
EMPRESA</t>
  </si>
  <si>
    <t>VALOR LIQUÍDO
A PAGAR</t>
  </si>
  <si>
    <t>Albert Einstein</t>
  </si>
  <si>
    <t>Thomas Edison</t>
  </si>
  <si>
    <t>George Lucas</t>
  </si>
  <si>
    <t>TOTAL DP PERÍODO</t>
  </si>
  <si>
    <t>Tabela de Alíquota do INSS</t>
  </si>
  <si>
    <t>Descontado do autônamo</t>
  </si>
  <si>
    <t>Contribuição da empresa</t>
  </si>
  <si>
    <t>RESUMO ANUAL DO PAGAMENTO DE RPA</t>
  </si>
  <si>
    <t>VALOR DOS SERVIÇOS</t>
  </si>
  <si>
    <t>INSS DESCONTADO</t>
  </si>
  <si>
    <t>INSS DA EMPRESA</t>
  </si>
  <si>
    <t>VALOR LÍQUIDO PAGO</t>
  </si>
  <si>
    <t>...</t>
  </si>
  <si>
    <t>TOTAL</t>
  </si>
  <si>
    <t>Setembro</t>
  </si>
  <si>
    <t>Galileu Galilei</t>
  </si>
  <si>
    <t>Francis Bacon</t>
  </si>
  <si>
    <t>Isaac 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</si>
</sst>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&quot;.&quot;000&quot;.&quot;000&quot;-&quot;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 tint="0.14999847407452621"/>
      <name val="Arial"/>
      <family val="2"/>
    </font>
    <font>
      <sz val="15"/>
      <color theme="6"/>
      <name val="Arial Black"/>
      <family val="2"/>
    </font>
    <font>
      <b/>
      <sz val="11"/>
      <color theme="1" tint="0.1499984740745262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 Black"/>
      <family val="2"/>
    </font>
    <font>
      <sz val="11"/>
      <color rgb="FFFF0000"/>
      <name val="Arial Black"/>
      <family val="2"/>
    </font>
    <font>
      <b/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 tint="0.24994659260841701"/>
      </bottom>
      <diagonal/>
    </border>
    <border>
      <left style="thin">
        <color auto="1"/>
      </left>
      <right style="thin">
        <color auto="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auto="1"/>
      </left>
      <right style="thin">
        <color auto="1"/>
      </right>
      <top style="thin">
        <color theme="1" tint="0.24994659260841701"/>
      </top>
      <bottom style="thin">
        <color auto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9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9" fontId="2" fillId="0" borderId="4" xfId="0" applyNumberFormat="1" applyFont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B478-9B69-4541-83F1-45B47FF175CD}">
  <dimension ref="B2:H14"/>
  <sheetViews>
    <sheetView showGridLines="0" workbookViewId="0">
      <selection activeCell="E15" sqref="E15"/>
    </sheetView>
  </sheetViews>
  <sheetFormatPr defaultRowHeight="24.75" customHeight="1" x14ac:dyDescent="0.25"/>
  <cols>
    <col min="1" max="1" width="9.140625" style="1"/>
    <col min="2" max="2" width="11.28515625" style="1" bestFit="1" customWidth="1"/>
    <col min="3" max="3" width="27" style="1" customWidth="1"/>
    <col min="4" max="4" width="15.5703125" style="1" customWidth="1"/>
    <col min="5" max="5" width="16.140625" style="1" customWidth="1"/>
    <col min="6" max="6" width="14" style="1" customWidth="1"/>
    <col min="7" max="7" width="12.42578125" style="1" customWidth="1"/>
    <col min="8" max="8" width="15" style="1" customWidth="1"/>
    <col min="9" max="16384" width="9.140625" style="1"/>
  </cols>
  <sheetData>
    <row r="2" spans="2:8" ht="24.75" customHeight="1" x14ac:dyDescent="0.25">
      <c r="B2" s="2" t="s">
        <v>0</v>
      </c>
      <c r="C2" s="2"/>
      <c r="D2" s="2"/>
      <c r="E2" s="2"/>
      <c r="F2" s="2"/>
      <c r="G2" s="6" t="s">
        <v>1</v>
      </c>
      <c r="H2" s="6" t="s">
        <v>2</v>
      </c>
    </row>
    <row r="3" spans="2:8" ht="24.75" customHeight="1" x14ac:dyDescent="0.25">
      <c r="B3" s="2"/>
      <c r="C3" s="2"/>
      <c r="D3" s="2"/>
      <c r="E3" s="2"/>
      <c r="F3" s="2"/>
      <c r="G3" s="7" t="s">
        <v>3</v>
      </c>
      <c r="H3" s="7">
        <v>2026</v>
      </c>
    </row>
    <row r="4" spans="2:8" ht="24.75" customHeight="1" x14ac:dyDescent="0.25">
      <c r="B4" s="3" t="s">
        <v>4</v>
      </c>
      <c r="C4" s="5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2:8" ht="24.75" customHeight="1" x14ac:dyDescent="0.25">
      <c r="B5" s="8">
        <v>46235</v>
      </c>
      <c r="C5" s="9" t="s">
        <v>11</v>
      </c>
      <c r="D5" s="10">
        <v>15436877812</v>
      </c>
      <c r="E5" s="11">
        <v>1200</v>
      </c>
      <c r="F5" s="11">
        <f>E5*$D$13</f>
        <v>132</v>
      </c>
      <c r="G5" s="11">
        <f>E5*$D$14</f>
        <v>240</v>
      </c>
      <c r="H5" s="11">
        <f>E5-F5</f>
        <v>1068</v>
      </c>
    </row>
    <row r="6" spans="2:8" ht="24.75" customHeight="1" x14ac:dyDescent="0.25">
      <c r="B6" s="8">
        <v>46235</v>
      </c>
      <c r="C6" s="9" t="s">
        <v>12</v>
      </c>
      <c r="D6" s="10">
        <v>25436578943</v>
      </c>
      <c r="E6" s="11">
        <v>955</v>
      </c>
      <c r="F6" s="11">
        <f t="shared" ref="F6:F9" si="0">E6*$D$13</f>
        <v>105.05</v>
      </c>
      <c r="G6" s="11">
        <f t="shared" ref="G6:G9" si="1">E6*$D$14</f>
        <v>191</v>
      </c>
      <c r="H6" s="11">
        <f t="shared" ref="H6:H9" si="2">E6-F6</f>
        <v>849.95</v>
      </c>
    </row>
    <row r="7" spans="2:8" ht="24.75" customHeight="1" x14ac:dyDescent="0.25">
      <c r="B7" s="8">
        <v>46239</v>
      </c>
      <c r="C7" s="9" t="s">
        <v>13</v>
      </c>
      <c r="D7" s="10">
        <v>10236844059</v>
      </c>
      <c r="E7" s="11">
        <v>345</v>
      </c>
      <c r="F7" s="11">
        <f t="shared" si="0"/>
        <v>37.950000000000003</v>
      </c>
      <c r="G7" s="11">
        <f t="shared" si="1"/>
        <v>69</v>
      </c>
      <c r="H7" s="11">
        <f t="shared" si="2"/>
        <v>307.05</v>
      </c>
    </row>
    <row r="8" spans="2:8" ht="24.75" customHeight="1" x14ac:dyDescent="0.25">
      <c r="B8" s="8"/>
      <c r="C8" s="12"/>
      <c r="D8" s="10"/>
      <c r="E8" s="11"/>
      <c r="F8" s="11">
        <f t="shared" si="0"/>
        <v>0</v>
      </c>
      <c r="G8" s="11">
        <f t="shared" si="1"/>
        <v>0</v>
      </c>
      <c r="H8" s="11">
        <f t="shared" si="2"/>
        <v>0</v>
      </c>
    </row>
    <row r="9" spans="2:8" ht="24.75" customHeight="1" x14ac:dyDescent="0.25">
      <c r="B9" s="8"/>
      <c r="C9" s="12"/>
      <c r="D9" s="10"/>
      <c r="E9" s="11"/>
      <c r="F9" s="11">
        <f t="shared" si="0"/>
        <v>0</v>
      </c>
      <c r="G9" s="11">
        <f t="shared" si="1"/>
        <v>0</v>
      </c>
      <c r="H9" s="11">
        <f t="shared" si="2"/>
        <v>0</v>
      </c>
    </row>
    <row r="10" spans="2:8" ht="24.75" customHeight="1" x14ac:dyDescent="0.25">
      <c r="B10" s="13" t="s">
        <v>14</v>
      </c>
      <c r="C10" s="13"/>
      <c r="D10" s="13"/>
      <c r="E10" s="11">
        <f>SUM(E5:E9)</f>
        <v>2500</v>
      </c>
      <c r="F10" s="11">
        <f t="shared" ref="F10:H10" si="3">SUM(F5:F9)</f>
        <v>275</v>
      </c>
      <c r="G10" s="11">
        <f t="shared" si="3"/>
        <v>500</v>
      </c>
      <c r="H10" s="11">
        <f t="shared" si="3"/>
        <v>2225</v>
      </c>
    </row>
    <row r="12" spans="2:8" ht="24.75" customHeight="1" x14ac:dyDescent="0.25">
      <c r="B12" s="14" t="s">
        <v>15</v>
      </c>
      <c r="C12" s="14"/>
      <c r="D12" s="14"/>
    </row>
    <row r="13" spans="2:8" ht="24.75" customHeight="1" x14ac:dyDescent="0.25">
      <c r="B13" s="15" t="s">
        <v>16</v>
      </c>
      <c r="C13" s="15"/>
      <c r="D13" s="16">
        <v>0.11</v>
      </c>
    </row>
    <row r="14" spans="2:8" ht="24.75" customHeight="1" x14ac:dyDescent="0.25">
      <c r="B14" s="17" t="s">
        <v>17</v>
      </c>
      <c r="C14" s="17"/>
      <c r="D14" s="18">
        <v>0.2</v>
      </c>
    </row>
  </sheetData>
  <mergeCells count="3">
    <mergeCell ref="B2:F3"/>
    <mergeCell ref="B10:D10"/>
    <mergeCell ref="B12:D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BCFD-0089-423F-81EB-8A47B48C60C5}">
  <dimension ref="B2:H14"/>
  <sheetViews>
    <sheetView showGridLines="0" workbookViewId="0">
      <selection activeCell="F7" sqref="F7"/>
    </sheetView>
  </sheetViews>
  <sheetFormatPr defaultRowHeight="24.75" customHeight="1" x14ac:dyDescent="0.25"/>
  <cols>
    <col min="1" max="1" width="9.140625" style="1"/>
    <col min="2" max="2" width="11.28515625" style="1" bestFit="1" customWidth="1"/>
    <col min="3" max="3" width="27" style="1" customWidth="1"/>
    <col min="4" max="4" width="15.5703125" style="1" customWidth="1"/>
    <col min="5" max="5" width="16.140625" style="1" customWidth="1"/>
    <col min="6" max="6" width="14" style="1" customWidth="1"/>
    <col min="7" max="7" width="12.42578125" style="1" customWidth="1"/>
    <col min="8" max="8" width="15" style="1" customWidth="1"/>
    <col min="9" max="16384" width="9.140625" style="1"/>
  </cols>
  <sheetData>
    <row r="2" spans="2:8" ht="24.75" customHeight="1" x14ac:dyDescent="0.25">
      <c r="B2" s="2" t="s">
        <v>0</v>
      </c>
      <c r="C2" s="2"/>
      <c r="D2" s="2"/>
      <c r="E2" s="2"/>
      <c r="F2" s="2"/>
      <c r="G2" s="6" t="s">
        <v>1</v>
      </c>
      <c r="H2" s="6" t="s">
        <v>2</v>
      </c>
    </row>
    <row r="3" spans="2:8" ht="24.75" customHeight="1" x14ac:dyDescent="0.25">
      <c r="B3" s="2"/>
      <c r="C3" s="2"/>
      <c r="D3" s="2"/>
      <c r="E3" s="2"/>
      <c r="F3" s="2"/>
      <c r="G3" s="7" t="s">
        <v>25</v>
      </c>
      <c r="H3" s="7">
        <v>2026</v>
      </c>
    </row>
    <row r="4" spans="2:8" ht="24.75" customHeight="1" x14ac:dyDescent="0.25">
      <c r="B4" s="3" t="s">
        <v>4</v>
      </c>
      <c r="C4" s="5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2:8" ht="24.75" customHeight="1" x14ac:dyDescent="0.25">
      <c r="B5" s="8">
        <v>46270</v>
      </c>
      <c r="C5" s="9" t="s">
        <v>26</v>
      </c>
      <c r="D5" s="10">
        <v>25436825423</v>
      </c>
      <c r="E5" s="11">
        <v>800</v>
      </c>
      <c r="F5" s="11">
        <f>E5*$D$13</f>
        <v>88</v>
      </c>
      <c r="G5" s="11">
        <f>E5*$D$14</f>
        <v>160</v>
      </c>
      <c r="H5" s="11">
        <f>E5-F5</f>
        <v>712</v>
      </c>
    </row>
    <row r="6" spans="2:8" ht="24.75" customHeight="1" x14ac:dyDescent="0.25">
      <c r="B6" s="8">
        <v>46276</v>
      </c>
      <c r="C6" s="9" t="s">
        <v>27</v>
      </c>
      <c r="D6" s="10">
        <v>46925412356</v>
      </c>
      <c r="E6" s="11">
        <v>250</v>
      </c>
      <c r="F6" s="11">
        <f t="shared" ref="F6:F9" si="0">E6*$D$13</f>
        <v>27.5</v>
      </c>
      <c r="G6" s="11">
        <f t="shared" ref="G6:G9" si="1">E6*$D$14</f>
        <v>50</v>
      </c>
      <c r="H6" s="11">
        <f t="shared" ref="H6:H9" si="2">E6-F6</f>
        <v>222.5</v>
      </c>
    </row>
    <row r="7" spans="2:8" ht="24.75" customHeight="1" x14ac:dyDescent="0.25">
      <c r="B7" s="8">
        <v>46282</v>
      </c>
      <c r="C7" s="9" t="s">
        <v>28</v>
      </c>
      <c r="D7" s="10">
        <v>1542365845</v>
      </c>
      <c r="E7" s="11">
        <v>1345</v>
      </c>
      <c r="F7" s="11">
        <f t="shared" si="0"/>
        <v>147.94999999999999</v>
      </c>
      <c r="G7" s="11">
        <f t="shared" si="1"/>
        <v>269</v>
      </c>
      <c r="H7" s="11">
        <f t="shared" si="2"/>
        <v>1197.05</v>
      </c>
    </row>
    <row r="8" spans="2:8" ht="24.75" customHeight="1" x14ac:dyDescent="0.25">
      <c r="B8" s="8"/>
      <c r="C8" s="12"/>
      <c r="D8" s="10"/>
      <c r="E8" s="11"/>
      <c r="F8" s="11">
        <f t="shared" si="0"/>
        <v>0</v>
      </c>
      <c r="G8" s="11">
        <f t="shared" si="1"/>
        <v>0</v>
      </c>
      <c r="H8" s="11">
        <f t="shared" si="2"/>
        <v>0</v>
      </c>
    </row>
    <row r="9" spans="2:8" ht="24.75" customHeight="1" x14ac:dyDescent="0.25">
      <c r="B9" s="8"/>
      <c r="C9" s="12"/>
      <c r="D9" s="10"/>
      <c r="E9" s="11"/>
      <c r="F9" s="11">
        <f t="shared" si="0"/>
        <v>0</v>
      </c>
      <c r="G9" s="11">
        <f t="shared" si="1"/>
        <v>0</v>
      </c>
      <c r="H9" s="11">
        <f t="shared" si="2"/>
        <v>0</v>
      </c>
    </row>
    <row r="10" spans="2:8" ht="24.75" customHeight="1" x14ac:dyDescent="0.25">
      <c r="B10" s="13" t="s">
        <v>14</v>
      </c>
      <c r="C10" s="13"/>
      <c r="D10" s="13"/>
      <c r="E10" s="11">
        <f>SUM(E5:E9)</f>
        <v>2395</v>
      </c>
      <c r="F10" s="11">
        <f t="shared" ref="F10:H10" si="3">SUM(F5:F9)</f>
        <v>263.45</v>
      </c>
      <c r="G10" s="11">
        <f t="shared" si="3"/>
        <v>479</v>
      </c>
      <c r="H10" s="11">
        <f t="shared" si="3"/>
        <v>2131.5500000000002</v>
      </c>
    </row>
    <row r="12" spans="2:8" ht="24.75" customHeight="1" x14ac:dyDescent="0.25">
      <c r="B12" s="14" t="s">
        <v>15</v>
      </c>
      <c r="C12" s="14"/>
      <c r="D12" s="14"/>
    </row>
    <row r="13" spans="2:8" ht="24.75" customHeight="1" x14ac:dyDescent="0.25">
      <c r="B13" s="15" t="s">
        <v>16</v>
      </c>
      <c r="C13" s="15"/>
      <c r="D13" s="16">
        <v>0.11</v>
      </c>
    </row>
    <row r="14" spans="2:8" ht="24.75" customHeight="1" x14ac:dyDescent="0.25">
      <c r="B14" s="17" t="s">
        <v>17</v>
      </c>
      <c r="C14" s="17"/>
      <c r="D14" s="18">
        <v>0.2</v>
      </c>
    </row>
  </sheetData>
  <mergeCells count="3">
    <mergeCell ref="B2:F3"/>
    <mergeCell ref="B10:D10"/>
    <mergeCell ref="B12:D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45BB-4146-4052-BFD5-0F9E2B641155}">
  <dimension ref="B2:G9"/>
  <sheetViews>
    <sheetView showGridLines="0" tabSelected="1" workbookViewId="0">
      <selection activeCell="C7" sqref="C7:F7"/>
    </sheetView>
  </sheetViews>
  <sheetFormatPr defaultRowHeight="24.75" customHeight="1" x14ac:dyDescent="0.25"/>
  <cols>
    <col min="1" max="1" width="9.140625" style="22"/>
    <col min="2" max="2" width="12.140625" style="22" customWidth="1"/>
    <col min="3" max="3" width="23" style="22" customWidth="1"/>
    <col min="4" max="4" width="21.42578125" style="22" customWidth="1"/>
    <col min="5" max="5" width="22.28515625" style="22" customWidth="1"/>
    <col min="6" max="6" width="21" style="22" bestFit="1" customWidth="1"/>
    <col min="7" max="16384" width="9.140625" style="22"/>
  </cols>
  <sheetData>
    <row r="2" spans="2:7" ht="24.75" customHeight="1" x14ac:dyDescent="0.25">
      <c r="B2" s="19" t="s">
        <v>18</v>
      </c>
      <c r="C2" s="19"/>
      <c r="D2" s="19"/>
      <c r="E2" s="19"/>
      <c r="F2" s="20" t="s">
        <v>2</v>
      </c>
    </row>
    <row r="3" spans="2:7" ht="24.75" customHeight="1" x14ac:dyDescent="0.25">
      <c r="B3" s="19"/>
      <c r="C3" s="19"/>
      <c r="D3" s="19"/>
      <c r="E3" s="19"/>
      <c r="F3" s="21">
        <v>2026</v>
      </c>
    </row>
    <row r="4" spans="2:7" ht="24.75" customHeight="1" x14ac:dyDescent="0.25">
      <c r="B4" s="23" t="s">
        <v>1</v>
      </c>
      <c r="C4" s="23" t="s">
        <v>19</v>
      </c>
      <c r="D4" s="23" t="s">
        <v>20</v>
      </c>
      <c r="E4" s="23" t="s">
        <v>21</v>
      </c>
      <c r="F4" s="23" t="s">
        <v>22</v>
      </c>
      <c r="G4" s="24"/>
    </row>
    <row r="5" spans="2:7" ht="24.75" customHeight="1" x14ac:dyDescent="0.25">
      <c r="B5" s="25" t="s">
        <v>23</v>
      </c>
      <c r="C5" s="28"/>
      <c r="D5" s="28"/>
      <c r="E5" s="28"/>
      <c r="F5" s="28"/>
    </row>
    <row r="6" spans="2:7" ht="24.75" customHeight="1" x14ac:dyDescent="0.25">
      <c r="B6" s="25" t="s">
        <v>3</v>
      </c>
      <c r="C6" s="28">
        <f>'RPA-Ago2026'!E10</f>
        <v>2500</v>
      </c>
      <c r="D6" s="28">
        <f>'RPA-Ago2026'!F10</f>
        <v>275</v>
      </c>
      <c r="E6" s="28">
        <f>'RPA-Ago2026'!G10</f>
        <v>500</v>
      </c>
      <c r="F6" s="28">
        <f>'RPA-Ago2026'!H10</f>
        <v>2225</v>
      </c>
    </row>
    <row r="7" spans="2:7" ht="24.75" customHeight="1" x14ac:dyDescent="0.25">
      <c r="B7" s="25" t="s">
        <v>25</v>
      </c>
      <c r="C7" s="28">
        <f>'RPA-Set2026'!E10</f>
        <v>2395</v>
      </c>
      <c r="D7" s="28">
        <f>'RPA-Set2026'!F10</f>
        <v>263.45</v>
      </c>
      <c r="E7" s="28">
        <f>'RPA-Set2026'!G10</f>
        <v>479</v>
      </c>
      <c r="F7" s="28">
        <f>'RPA-Set2026'!H10</f>
        <v>2131.5500000000002</v>
      </c>
    </row>
    <row r="8" spans="2:7" ht="24.75" customHeight="1" x14ac:dyDescent="0.25">
      <c r="B8" s="25" t="s">
        <v>23</v>
      </c>
      <c r="C8" s="27">
        <f>SUM(C5:C7)</f>
        <v>4895</v>
      </c>
      <c r="D8" s="27">
        <f t="shared" ref="D8:F8" si="0">SUM(D5:D7)</f>
        <v>538.45000000000005</v>
      </c>
      <c r="E8" s="27">
        <f t="shared" si="0"/>
        <v>979</v>
      </c>
      <c r="F8" s="27">
        <f t="shared" si="0"/>
        <v>4356.55</v>
      </c>
    </row>
    <row r="9" spans="2:7" ht="24.75" customHeight="1" x14ac:dyDescent="0.25">
      <c r="B9" s="26" t="s">
        <v>24</v>
      </c>
    </row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RPA-Ago2026</vt:lpstr>
      <vt:lpstr>RPA-Set2026</vt:lpstr>
      <vt:lpstr>RPA-Ano2026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rodrigues</dc:creator>
  <cp:lastModifiedBy>augusto rodrigues</cp:lastModifiedBy>
  <dcterms:created xsi:type="dcterms:W3CDTF">2026-08-22T10:45:38Z</dcterms:created>
  <dcterms:modified xsi:type="dcterms:W3CDTF">2026-08-22T12:46:45Z</dcterms:modified>
</cp:coreProperties>
</file>